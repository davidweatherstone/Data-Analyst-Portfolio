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ntg-my.sharepoint.com/personal/david_weatherstone_northgate_co_uk/Documents/Documents/"/>
    </mc:Choice>
  </mc:AlternateContent>
  <xr:revisionPtr revIDLastSave="0" documentId="8_{E14E29CA-EC3B-455C-8CE2-680E872D82A6}" xr6:coauthVersionLast="47" xr6:coauthVersionMax="47" xr10:uidLastSave="{00000000-0000-0000-0000-000000000000}"/>
  <bookViews>
    <workbookView xWindow="-4740" yWindow="-16320" windowWidth="37245" windowHeight="16440" xr2:uid="{282779C8-1442-41A0-BF20-4DDAA54AB25D}"/>
  </bookViews>
  <sheets>
    <sheet name="Calculator" sheetId="1" r:id="rId1"/>
    <sheet name="PERSON 1" sheetId="5" r:id="rId2"/>
    <sheet name="PERSON 2" sheetId="3" r:id="rId3"/>
    <sheet name="JOINT COSTS" sheetId="4" r:id="rId4"/>
  </sheets>
  <definedNames>
    <definedName name="Affordability">Table9[Borrowing amount]</definedName>
    <definedName name="Borrowing_Amount">Table9[Borrowing amount]</definedName>
    <definedName name="Deposit_Percentage">Table9[Deposit percentage]</definedName>
    <definedName name="deposit1">'PERSON 1'!$B$4</definedName>
    <definedName name="deposit2">'PERSON 2'!$B$4</definedName>
    <definedName name="Max_House_Affordability">Table9[House affordability]</definedName>
    <definedName name="Multiple">Table9[Multiple]</definedName>
    <definedName name="salary1">'PERSON 1'!$B$2</definedName>
    <definedName name="salary2">'PERSON 2'!$B$2</definedName>
    <definedName name="takehome1">'PERSON 1'!$B$3</definedName>
    <definedName name="takehome2">'PERSON 2'!$B$3</definedName>
    <definedName name="Total_Deposit">Table9[Deposit amount]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5" i="1" l="1"/>
  <c r="F11" i="1"/>
  <c r="E11" i="1" s="1"/>
  <c r="D26" i="1"/>
  <c r="C26" i="1"/>
  <c r="D25" i="1"/>
  <c r="D23" i="1"/>
  <c r="D22" i="1"/>
  <c r="C25" i="1"/>
  <c r="C23" i="1"/>
  <c r="C24" i="1" s="1"/>
  <c r="C22" i="1"/>
  <c r="D21" i="1"/>
  <c r="C21" i="1"/>
  <c r="E21" i="1" s="1"/>
  <c r="D20" i="1"/>
  <c r="C20" i="1"/>
  <c r="D19" i="1"/>
  <c r="C19" i="1"/>
  <c r="B11" i="1"/>
  <c r="E20" i="1" l="1"/>
  <c r="C11" i="1"/>
  <c r="B15" i="1" s="1" a="1"/>
  <c r="B15" i="1" s="1"/>
  <c r="E15" i="1" s="1"/>
  <c r="D28" i="1" s="1" a="1"/>
  <c r="D28" i="1" s="1"/>
  <c r="D11" i="1"/>
  <c r="E19" i="1"/>
  <c r="E23" i="1"/>
  <c r="D24" i="1"/>
  <c r="E24" i="1" s="1"/>
  <c r="E25" i="1"/>
  <c r="C27" i="1"/>
  <c r="E26" i="1"/>
  <c r="E22" i="1"/>
  <c r="C28" i="1" l="1" a="1"/>
  <c r="C28" i="1" s="1"/>
  <c r="E28" i="1" s="1"/>
  <c r="D27" i="1"/>
  <c r="E27" i="1" s="1"/>
  <c r="D29" i="1" l="1"/>
  <c r="C29" i="1"/>
  <c r="E29"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<sst xmlns="http://schemas.openxmlformats.org/spreadsheetml/2006/main" count="92" uniqueCount="63">
  <si>
    <t>Car insurance</t>
  </si>
  <si>
    <t>HOUSE INSURANCE</t>
  </si>
  <si>
    <t>Hair cut</t>
  </si>
  <si>
    <t>Mobile phone</t>
  </si>
  <si>
    <t>Gym membership</t>
  </si>
  <si>
    <t>ISA contribution</t>
  </si>
  <si>
    <t>Car tax</t>
  </si>
  <si>
    <t>Life insurance</t>
  </si>
  <si>
    <t>Amount</t>
  </si>
  <si>
    <t>Item</t>
  </si>
  <si>
    <t>Salary</t>
  </si>
  <si>
    <t>Take home</t>
  </si>
  <si>
    <t>Deposit contribution</t>
  </si>
  <si>
    <t>Invisalign</t>
  </si>
  <si>
    <t>Energy, gas &amp; electric</t>
  </si>
  <si>
    <t>Council tax</t>
  </si>
  <si>
    <t>Internet</t>
  </si>
  <si>
    <t>Water</t>
  </si>
  <si>
    <t>Food shop</t>
  </si>
  <si>
    <t>Cat</t>
  </si>
  <si>
    <t>Spotify</t>
  </si>
  <si>
    <t>Cosmetics</t>
  </si>
  <si>
    <t>Hair</t>
  </si>
  <si>
    <t>Fuel</t>
  </si>
  <si>
    <t>Multiple</t>
  </si>
  <si>
    <t>Deposit amount</t>
  </si>
  <si>
    <t>Borrowing amount</t>
  </si>
  <si>
    <t>House affordability</t>
  </si>
  <si>
    <t>Deposit percentage</t>
  </si>
  <si>
    <t>Monthly cost description</t>
  </si>
  <si>
    <t>Yearly cost description</t>
  </si>
  <si>
    <t>Cost</t>
  </si>
  <si>
    <t>Person 1</t>
  </si>
  <si>
    <t>Person 2</t>
  </si>
  <si>
    <t>Total</t>
  </si>
  <si>
    <t>Deposit</t>
  </si>
  <si>
    <t>Mortgage amount</t>
  </si>
  <si>
    <t>Mortgage rate</t>
  </si>
  <si>
    <t>Mortgage term (yrs)</t>
  </si>
  <si>
    <t>Repayment amount</t>
  </si>
  <si>
    <t>Savings</t>
  </si>
  <si>
    <t>Not including deposit</t>
  </si>
  <si>
    <t>Excluding bonus</t>
  </si>
  <si>
    <t>After tax, contributions etc.</t>
  </si>
  <si>
    <t>Comment</t>
  </si>
  <si>
    <t>Other savings</t>
  </si>
  <si>
    <t>Monthly costs</t>
  </si>
  <si>
    <t>Yearly costs</t>
  </si>
  <si>
    <t>Yearly costs/12</t>
  </si>
  <si>
    <t>Mortgage contribution</t>
  </si>
  <si>
    <t>Monthly joint costs shared</t>
  </si>
  <si>
    <t>Yearly join costs shared/12</t>
  </si>
  <si>
    <t>Left over</t>
  </si>
  <si>
    <t>Total costs exc. Mortgage</t>
  </si>
  <si>
    <t>READ ME</t>
  </si>
  <si>
    <t>1. For eacon person, go to the tabs at the bottom, enter in values within the green cells and for any tables with green headers (correct cost descriptions and cost amounts). Do this together for the shared costs tab</t>
  </si>
  <si>
    <t>Affordability table</t>
  </si>
  <si>
    <t>Mortgage calculation table</t>
  </si>
  <si>
    <t>True cost table</t>
  </si>
  <si>
    <t>Multiple button</t>
  </si>
  <si>
    <t>Rate button</t>
  </si>
  <si>
    <t>3. Mortgage calculation table, here the mortgage rate can be amended, the range here is 2% up to 9%</t>
  </si>
  <si>
    <t>2. Affordability table, here the borrowing multiple can be amended, the range here is 3 times salary up to 4.5 times salary. The maximum multiple that banks would generally loan is 4.5 times 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</si>
</sst>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8" formatCode="_-&quot;£&quot;* #,##0_-;\-&quot;£&quot;* #,##0_-;_-&quot;£&quot;* &quot;-&quot;??_-;_-@_-"/>
    <numFmt numFmtId="169" formatCode="0.0%"/>
  </numFmts>
  <fonts count="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2"/>
      <color theme="1"/>
      <name val="Calibri"/>
      <family val="2"/>
      <scheme val="minor"/>
    </font>
    <font>
      <b/>
      <sz val="12"/>
      <color theme="0"/>
      <name val="Calibri"/>
      <family val="2"/>
      <scheme val="minor"/>
    </font>
  </fonts>
  <fills count="5">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tint="-4.9989318521683403E-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2">
    <xf numFmtId="0" fontId="0" fillId="0" borderId="0" xfId="0"/>
    <xf numFmtId="44" fontId="0" fillId="0" borderId="0" xfId="1" applyFont="1"/>
    <xf numFmtId="0" fontId="0" fillId="0" borderId="0" xfId="0" applyAlignment="1">
      <alignment horizontal="center"/>
    </xf>
    <xf numFmtId="9" fontId="0" fillId="0" borderId="0" xfId="2" applyFont="1"/>
    <xf numFmtId="168" fontId="0" fillId="0" borderId="0" xfId="1" applyNumberFormat="1" applyFont="1"/>
    <xf numFmtId="168" fontId="0" fillId="0" borderId="0" xfId="0" applyNumberFormat="1"/>
    <xf numFmtId="169" fontId="0" fillId="0" borderId="0" xfId="2" applyNumberFormat="1" applyFont="1"/>
    <xf numFmtId="0" fontId="5" fillId="0" borderId="0" xfId="0" applyFont="1"/>
    <xf numFmtId="168" fontId="5" fillId="0" borderId="0" xfId="0" applyNumberFormat="1" applyFont="1"/>
    <xf numFmtId="44" fontId="6" fillId="0" borderId="0" xfId="1" applyFont="1"/>
    <xf numFmtId="0" fontId="0" fillId="3" borderId="0" xfId="0" applyFill="1"/>
    <xf numFmtId="0" fontId="0" fillId="0" borderId="0" xfId="0" applyAlignment="1">
      <alignment horizontal="left" wrapText="1"/>
    </xf>
    <xf numFmtId="0" fontId="7" fillId="2" borderId="0" xfId="0" applyFont="1" applyFill="1" applyBorder="1" applyAlignment="1">
      <alignment horizontal="centerContinuous"/>
    </xf>
    <xf numFmtId="0" fontId="2" fillId="2" borderId="0" xfId="0" applyFont="1" applyFill="1" applyBorder="1" applyAlignment="1">
      <alignment horizontal="centerContinuous"/>
    </xf>
    <xf numFmtId="168" fontId="4" fillId="3" borderId="0" xfId="1" applyNumberFormat="1" applyFont="1" applyFill="1"/>
    <xf numFmtId="0" fontId="3" fillId="3" borderId="0" xfId="0" applyFont="1" applyFill="1" applyAlignment="1">
      <alignment horizontal="centerContinuous"/>
    </xf>
    <xf numFmtId="0" fontId="3" fillId="3" borderId="0" xfId="0" applyFont="1" applyFill="1"/>
    <xf numFmtId="168" fontId="0" fillId="0" borderId="0" xfId="1" applyNumberFormat="1" applyFont="1" applyAlignment="1">
      <alignment horizontal="center"/>
    </xf>
    <xf numFmtId="169" fontId="0" fillId="0" borderId="0" xfId="2" applyNumberFormat="1" applyFont="1" applyAlignment="1">
      <alignment horizontal="center"/>
    </xf>
    <xf numFmtId="0" fontId="0" fillId="4" borderId="1" xfId="0" applyFill="1" applyBorder="1" applyAlignment="1">
      <alignment horizontal="left" wrapText="1"/>
    </xf>
    <xf numFmtId="0" fontId="0" fillId="4" borderId="2" xfId="0" applyFill="1" applyBorder="1" applyAlignment="1">
      <alignment horizontal="left" wrapText="1"/>
    </xf>
    <xf numFmtId="0" fontId="0" fillId="4" borderId="3" xfId="0" applyFill="1" applyBorder="1" applyAlignment="1">
      <alignment horizontal="left" wrapText="1"/>
    </xf>
    <xf numFmtId="0" fontId="0" fillId="4" borderId="4" xfId="0" applyFill="1" applyBorder="1" applyAlignment="1">
      <alignment horizontal="left" wrapText="1"/>
    </xf>
    <xf numFmtId="0" fontId="0" fillId="4" borderId="0" xfId="0" applyFill="1" applyBorder="1" applyAlignment="1">
      <alignment horizontal="left" wrapText="1"/>
    </xf>
    <xf numFmtId="0" fontId="0" fillId="4" borderId="5" xfId="0" applyFill="1" applyBorder="1" applyAlignment="1">
      <alignment horizontal="left" wrapText="1"/>
    </xf>
    <xf numFmtId="0" fontId="0" fillId="0" borderId="4" xfId="0" applyBorder="1" applyAlignment="1">
      <alignment horizontal="left" wrapText="1"/>
    </xf>
    <xf numFmtId="0" fontId="0" fillId="0" borderId="0" xfId="0" applyBorder="1" applyAlignment="1">
      <alignment horizontal="left" wrapText="1"/>
    </xf>
    <xf numFmtId="0" fontId="0" fillId="0" borderId="5" xfId="0" applyBorder="1" applyAlignment="1">
      <alignment horizontal="left" wrapText="1"/>
    </xf>
    <xf numFmtId="0" fontId="0" fillId="4" borderId="6" xfId="0" applyFill="1" applyBorder="1" applyAlignment="1">
      <alignment horizontal="left"/>
    </xf>
    <xf numFmtId="0" fontId="0" fillId="4" borderId="7" xfId="0" applyFill="1" applyBorder="1" applyAlignment="1">
      <alignment horizontal="left"/>
    </xf>
    <xf numFmtId="0" fontId="0" fillId="4" borderId="8" xfId="0" applyFill="1" applyBorder="1" applyAlignment="1"/>
    <xf numFmtId="168" fontId="6" fillId="0" borderId="0" xfId="1" applyNumberFormat="1" applyFont="1" applyAlignment="1">
      <alignment horizontal="center"/>
    </xf>
  </cellXfs>
  <cellStyles count="3">
    <cellStyle name="Currency" xfId="1" builtinId="4"/>
    <cellStyle name="Normal" xfId="0" builtinId="0"/>
    <cellStyle name="Percent" xfId="2" builtinId="5"/>
  </cellStyles>
  <dxfs count="26">
    <dxf>
      <numFmt numFmtId="168" formatCode="_-&quot;£&quot;* #,##0_-;\-&quot;£&quot;* #,##0_-;_-&quot;£&quot;* &quot;-&quot;??_-;_-@_-"/>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Calibri"/>
        <family val="2"/>
        <scheme val="minor"/>
      </font>
      <numFmt numFmtId="168" formatCode="_-&quot;£&quot;* #,##0_-;\-&quot;£&quot;* #,##0_-;_-&quot;£&quot;* &quot;-&quot;??_-;_-@_-"/>
      <alignment horizontal="center" vertical="bottom" textRotation="0" wrapText="0" indent="0" justifyLastLine="0" shrinkToFit="0" readingOrder="0"/>
    </dxf>
    <dxf>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center" vertical="bottom" textRotation="0" wrapText="0" indent="0" justifyLastLine="0" shrinkToFit="0" readingOrder="0"/>
    </dxf>
    <dxf>
      <font>
        <strike val="0"/>
        <outline val="0"/>
        <shadow val="0"/>
        <u val="none"/>
        <vertAlign val="baseline"/>
        <sz val="11"/>
        <color theme="0"/>
        <name val="Calibri"/>
        <family val="2"/>
        <scheme val="minor"/>
      </font>
      <numFmt numFmtId="168" formatCode="_-&quot;£&quot;* #,##0_-;\-&quot;£&quot;* #,##0_-;_-&quot;£&quot;* &quot;-&quot;??_-;_-@_-"/>
      <fill>
        <patternFill patternType="solid">
          <fgColor indexed="64"/>
          <bgColor rgb="FF00B050"/>
        </patternFill>
      </fill>
    </dxf>
    <dxf>
      <font>
        <strike val="0"/>
        <outline val="0"/>
        <shadow val="0"/>
        <u val="none"/>
        <vertAlign val="baseline"/>
        <sz val="11"/>
        <color theme="0"/>
        <name val="Calibri"/>
        <family val="2"/>
        <scheme val="minor"/>
      </font>
      <numFmt numFmtId="168" formatCode="_-&quot;£&quot;* #,##0_-;\-&quot;£&quot;* #,##0_-;_-&quot;£&quot;* &quot;-&quot;??_-;_-@_-"/>
      <fill>
        <patternFill patternType="solid">
          <fgColor indexed="64"/>
          <bgColor rgb="FF00B050"/>
        </patternFill>
      </fill>
    </dxf>
    <dxf>
      <fill>
        <patternFill patternType="solid">
          <fgColor indexed="64"/>
          <bgColor rgb="FF00B050"/>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00B050"/>
        </patternFill>
      </fill>
    </dxf>
    <dxf>
      <fill>
        <patternFill patternType="solid">
          <fgColor indexed="64"/>
          <bgColor rgb="FF00B050"/>
        </patternFill>
      </fill>
    </dxf>
    <dxf>
      <fill>
        <patternFill patternType="solid">
          <fgColor indexed="64"/>
          <bgColor rgb="FF00B050"/>
        </patternFill>
      </fill>
    </dxf>
    <dxf>
      <fill>
        <patternFill patternType="solid">
          <fgColor indexed="64"/>
          <bgColor rgb="FF00B050"/>
        </patternFill>
      </fill>
    </dxf>
    <dxf>
      <fill>
        <patternFill patternType="solid">
          <fgColor indexed="64"/>
          <bgColor rgb="FF00B050"/>
        </patternFill>
      </fill>
    </dxf>
    <dxf>
      <numFmt numFmtId="168" formatCode="_-&quot;£&quot;* #,##0_-;\-&quot;£&quot;* #,##0_-;_-&quot;£&quot;* &quot;-&quot;??_-;_-@_-"/>
    </dxf>
    <dxf>
      <numFmt numFmtId="168" formatCode="_-&quot;£&quot;* #,##0_-;\-&quot;£&quot;* #,##0_-;_-&quot;£&quot;* &quot;-&quot;??_-;_-@_-"/>
    </dxf>
    <dxf>
      <numFmt numFmtId="168" formatCode="_-&quot;£&quot;* #,##0_-;\-&quot;£&quot;* #,##0_-;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31" fmlaLink="$I$11" horiz="1" max="45" min="30" noThreeD="1" page="10" val="45"/>
</file>

<file path=xl/ctrlProps/ctrlProp2.xml><?xml version="1.0" encoding="utf-8"?>
<formControlPr xmlns="http://schemas.microsoft.com/office/spreadsheetml/2009/9/main" objectType="Scroll" dx="31" fmlaLink="$I$15" horiz="1" max="100" min="20" noThreeD="1" page="10" val="53"/>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xdr:colOff>
          <xdr:row>9</xdr:row>
          <xdr:rowOff>1</xdr:rowOff>
        </xdr:from>
        <xdr:to>
          <xdr:col>9</xdr:col>
          <xdr:colOff>0</xdr:colOff>
          <xdr:row>11</xdr:row>
          <xdr:rowOff>9525</xdr:rowOff>
        </xdr:to>
        <xdr:sp macro="" textlink="">
          <xdr:nvSpPr>
            <xdr:cNvPr id="2054" name="Scroll Bar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9525</xdr:rowOff>
        </xdr:from>
        <xdr:to>
          <xdr:col>9</xdr:col>
          <xdr:colOff>6350</xdr:colOff>
          <xdr:row>15</xdr:row>
          <xdr:rowOff>0</xdr:rowOff>
        </xdr:to>
        <xdr:sp macro="" textlink="">
          <xdr:nvSpPr>
            <xdr:cNvPr id="2056" name="Scroll Bar 8" hidden="1">
              <a:extLst>
                <a:ext uri="{63B3BB69-23CF-44E3-9099-C40C66FF867C}">
                  <a14:compatExt spid="_x0000_s2056"/>
                </a:ext>
                <a:ext uri="{FF2B5EF4-FFF2-40B4-BE49-F238E27FC236}">
                  <a16:creationId xmlns:a16="http://schemas.microsoft.com/office/drawing/2014/main" id="{98BFCFF7-3208-4FBF-91A6-D3AF495C8F3E}"/>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D0B40EF-D2C2-4A37-9581-8C4FE240F9DE}" name="Table9" displayName="Table9" ref="B10:F11" totalsRowShown="0" headerRowDxfId="17" dataDxfId="10">
  <autoFilter ref="B10:F11" xr:uid="{4D0B40EF-D2C2-4A37-9581-8C4FE240F9DE}">
    <filterColumn colId="0" hiddenButton="1"/>
    <filterColumn colId="1" hiddenButton="1"/>
    <filterColumn colId="2" hiddenButton="1"/>
    <filterColumn colId="3" hiddenButton="1"/>
    <filterColumn colId="4" hiddenButton="1"/>
  </autoFilter>
  <tableColumns count="5">
    <tableColumn id="3" xr3:uid="{C8A2C3CB-BC86-4D88-872D-DD1D1E74E422}" name="Deposit amount" dataDxfId="12" dataCellStyle="Currency">
      <calculatedColumnFormula>SUM(deposit1,deposit2)</calculatedColumnFormula>
    </tableColumn>
    <tableColumn id="4" xr3:uid="{030712E8-3686-4B03-9577-78F1A1C9AC79}" name="Borrowing amount" dataDxfId="6" dataCellStyle="Currency">
      <calculatedColumnFormula>SUM((salary1*F11),(salary2*F11))</calculatedColumnFormula>
    </tableColumn>
    <tableColumn id="6" xr3:uid="{28B98562-39F1-4D5E-BD27-4C53C678EC92}" name="Deposit percentage" dataDxfId="4" dataCellStyle="Percent">
      <calculatedColumnFormula>Table9[[#This Row],[Deposit amount]]/(SUM(deposit1,deposit2)+SUM((salary1*F11),(salary2*F11)))</calculatedColumnFormula>
    </tableColumn>
    <tableColumn id="1" xr3:uid="{B5F2F2E2-15DE-48C0-B946-7E01435284B3}" name="House affordability" dataDxfId="5" dataCellStyle="Currency">
      <calculatedColumnFormula>SUM(deposit1,deposit2)+SUM((salary1*F11),(salary2*F11))</calculatedColumnFormula>
    </tableColumn>
    <tableColumn id="2" xr3:uid="{EDB62859-2BBD-43AA-9916-84BF71D49187}" name="Multiple" dataDxfId="11">
      <calculatedColumnFormula>I11/10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3E34ED1-C0BB-4B16-BA8E-360E865CF6D8}" name="Mortgage_Calculator" displayName="Mortgage_Calculator" ref="B14:E15" totalsRowShown="0" headerRowDxfId="16" dataDxfId="9">
  <autoFilter ref="B14:E15" xr:uid="{F3E34ED1-C0BB-4B16-BA8E-360E865CF6D8}">
    <filterColumn colId="0" hiddenButton="1"/>
    <filterColumn colId="1" hiddenButton="1"/>
    <filterColumn colId="2" hiddenButton="1"/>
    <filterColumn colId="3" hiddenButton="1"/>
  </autoFilter>
  <tableColumns count="4">
    <tableColumn id="1" xr3:uid="{4E18FFE1-DB7A-446B-8906-BFB8C5FD7359}" name="Mortgage amount" dataDxfId="0" dataCellStyle="Currency">
      <calculatedColumnFormula array="1">Table9[Borrowing amount]</calculatedColumnFormula>
    </tableColumn>
    <tableColumn id="2" xr3:uid="{17021F9C-8502-4998-99F9-25144764CFC4}" name="Mortgage term (yrs)" dataDxfId="1"/>
    <tableColumn id="3" xr3:uid="{31E746C2-771A-4AE4-A910-ABADE7871D78}" name="Mortgage rate" dataDxfId="3" dataCellStyle="Percent">
      <calculatedColumnFormula>I15/1000</calculatedColumnFormula>
    </tableColumn>
    <tableColumn id="4" xr3:uid="{4E37F569-2412-4615-9E2E-0EE8D7C3843B}" name="Repayment amount" dataDxfId="2" dataCellStyle="Currency">
      <calculatedColumnFormula>PMT(Mortgage_Calculator[[#This Row],[Mortgage rate]]/12,(Mortgage_Calculator[[#This Row],[Mortgage term (yrs)]]*12),-Mortgage_Calculator[[#This Row],[Mortgage amount]])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F9438DA-C02C-405B-BBBC-F2375B4F9E39}" name="Table11" displayName="Table11" ref="B18:E29" totalsRowShown="0">
  <autoFilter ref="B18:E29" xr:uid="{1F9438DA-C02C-405B-BBBC-F2375B4F9E39}">
    <filterColumn colId="0" hiddenButton="1"/>
    <filterColumn colId="1" hiddenButton="1"/>
    <filterColumn colId="2" hiddenButton="1"/>
    <filterColumn colId="3" hiddenButton="1"/>
  </autoFilter>
  <tableColumns count="4">
    <tableColumn id="1" xr3:uid="{6153709E-5B47-4216-B2AB-19235CE471CF}" name="Item"/>
    <tableColumn id="2" xr3:uid="{0D8A0059-5039-4457-A72E-295BE580E4E4}" name="Person 1" dataDxfId="25"/>
    <tableColumn id="3" xr3:uid="{17F98222-90B1-4BA8-AF21-AD729FF9CF47}" name="Person 2" dataDxfId="24"/>
    <tableColumn id="4" xr3:uid="{33DAE176-9FDA-4C04-A430-31E74BBD1190}" name="Total" dataDxfId="23">
      <calculatedColumnFormula>SUM(Table11[[#This Row],[Person 1]:[Person 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675240-8EAD-43D6-8620-2366F1556302}" name="Person_2_Figures7" displayName="Person_2_Figures7" ref="A1:C5" totalsRowShown="0">
  <autoFilter ref="A1:C5" xr:uid="{E1FBD257-A88C-43D0-9DC3-F8177D9B6A4F}">
    <filterColumn colId="0" hiddenButton="1"/>
    <filterColumn colId="1" hiddenButton="1"/>
    <filterColumn colId="2" hiddenButton="1"/>
  </autoFilter>
  <tableColumns count="3">
    <tableColumn id="1" xr3:uid="{FF9AB8CC-217D-4084-857F-9D134328F8C9}" name="Item"/>
    <tableColumn id="2" xr3:uid="{E6EF8DC3-7B31-4CC4-8B77-C30C4989B9A6}" name="Amount" dataDxfId="14" dataCellStyle="Currency"/>
    <tableColumn id="3" xr3:uid="{7323E35D-59E2-438B-AAF5-9074A81D6623}" name="Comm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C93E37D-0C44-4CF5-B90B-303559A3523B}" name="Person_1_Monthly_Costs" displayName="Person_1_Monthly_Costs" ref="A7:B15" totalsRowShown="0" headerRowDxfId="22">
  <autoFilter ref="A7:B15" xr:uid="{2EBBCB45-5A46-49BB-802C-5AC780901922}">
    <filterColumn colId="0" hiddenButton="1"/>
    <filterColumn colId="1" hiddenButton="1"/>
  </autoFilter>
  <tableColumns count="2">
    <tableColumn id="1" xr3:uid="{2EBDE79F-E723-4BCE-B6A4-649E04579555}" name="Monthly cost description"/>
    <tableColumn id="2" xr3:uid="{F304F5B3-7C7F-4392-BF10-96B07E6A7FAA}" name="Cost" dataCellStyle="Currenc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BBA071C-0800-403E-AF4D-8D9DB8ADE065}" name="Person_1_Yearly_Costs" displayName="Person_1_Yearly_Costs" ref="A24:B26" totalsRowShown="0" headerRowDxfId="21">
  <autoFilter ref="A24:B26" xr:uid="{3B42339A-6AD6-4A60-B0A9-BD858758776A}"/>
  <tableColumns count="2">
    <tableColumn id="1" xr3:uid="{CF88C4A4-8B79-44F3-B8C6-89093E96EE2A}" name="Yearly cost description"/>
    <tableColumn id="2" xr3:uid="{D8740622-FF74-4062-8555-C468ECB0E786}" name="Cost" dataCellStyle="Currency"/>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FBD257-A88C-43D0-9DC3-F8177D9B6A4F}" name="Person_2_Figures" displayName="Person_2_Figures" ref="A1:C5" totalsRowShown="0">
  <autoFilter ref="A1:C5" xr:uid="{E1FBD257-A88C-43D0-9DC3-F8177D9B6A4F}">
    <filterColumn colId="0" hiddenButton="1"/>
    <filterColumn colId="1" hiddenButton="1"/>
    <filterColumn colId="2" hiddenButton="1"/>
  </autoFilter>
  <tableColumns count="3">
    <tableColumn id="1" xr3:uid="{D51363AC-FB3E-48E1-91D5-A2A72C79E6DE}" name="Item"/>
    <tableColumn id="2" xr3:uid="{CA81BD4E-5BF1-49F5-BBE3-00D68A258547}" name="Amount" dataDxfId="13" dataCellStyle="Currency"/>
    <tableColumn id="3" xr3:uid="{F4C4F9D5-229A-42E6-85D2-647BB0D3A1C3}" name="Comm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BBCB45-5A46-49BB-802C-5AC780901922}" name="Person_2_Monthly_Costs" displayName="Person_2_Monthly_Costs" ref="A7:B15" totalsRowShown="0" headerRowDxfId="20">
  <autoFilter ref="A7:B15" xr:uid="{2EBBCB45-5A46-49BB-802C-5AC780901922}">
    <filterColumn colId="0" hiddenButton="1"/>
    <filterColumn colId="1" hiddenButton="1"/>
  </autoFilter>
  <tableColumns count="2">
    <tableColumn id="1" xr3:uid="{A6063C30-1FB2-4FC3-8465-8F072F31513A}" name="Monthly cost description"/>
    <tableColumn id="2" xr3:uid="{8F51CFDD-0BEA-4B6E-9BB7-C730E59A7406}" name="Cost" dataCellStyle="Currenc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42339A-6AD6-4A60-B0A9-BD858758776A}" name="Person_2_Yearly_Costs" displayName="Person_2_Yearly_Costs" ref="A24:B26" totalsRowShown="0" headerRowDxfId="19">
  <autoFilter ref="A24:B26" xr:uid="{3B42339A-6AD6-4A60-B0A9-BD858758776A}">
    <filterColumn colId="0" hiddenButton="1"/>
    <filterColumn colId="1" hiddenButton="1"/>
  </autoFilter>
  <tableColumns count="2">
    <tableColumn id="1" xr3:uid="{CC5C415E-B136-4A8B-BB45-30912116A9EA}" name="Yearly cost description"/>
    <tableColumn id="2" xr3:uid="{079DE012-84A8-4BBB-9D83-C8F190DF8D64}" name="Cost" dataCellStyle="Currenc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28E99F-B0AF-4ACB-8C19-6D0841999CF6}" name="Joint_Monthly_Costs" displayName="Joint_Monthly_Costs" ref="A1:B7" totalsRowShown="0" headerRowDxfId="18">
  <autoFilter ref="A1:B7" xr:uid="{AC28E99F-B0AF-4ACB-8C19-6D0841999CF6}">
    <filterColumn colId="0" hiddenButton="1"/>
    <filterColumn colId="1" hiddenButton="1"/>
  </autoFilter>
  <tableColumns count="2">
    <tableColumn id="1" xr3:uid="{F4FB9542-84EB-4C70-BCB5-3385F9243752}" name="Monthly cost description"/>
    <tableColumn id="2" xr3:uid="{6F74A3AB-35A5-415F-9BE2-A1CA53E932D7}" name="Cos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7B47DD-F958-4765-B2ED-545162C59180}" name="Joint_Yearly_Costs" displayName="Joint_Yearly_Costs" ref="A14:B15" totalsRowShown="0" headerRowDxfId="15">
  <autoFilter ref="A14:B15" xr:uid="{EC7B47DD-F958-4765-B2ED-545162C59180}">
    <filterColumn colId="0" hiddenButton="1"/>
    <filterColumn colId="1" hiddenButton="1"/>
  </autoFilter>
  <tableColumns count="2">
    <tableColumn id="1" xr3:uid="{DC6F427C-FB9E-490C-9E59-85E1712BABBC}" name="Yearly cost description"/>
    <tableColumn id="2" xr3:uid="{C9EACC73-C4B4-439D-B6FD-F08F58D691C5}" name="Co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E2F0-93EB-438F-A3FB-3585EB0CF209}">
  <sheetPr codeName="Sheet1"/>
  <dimension ref="B2:Q29"/>
  <sheetViews>
    <sheetView showGridLines="0" tabSelected="1" workbookViewId="0"/>
  </sheetViews>
  <sheetFormatPr defaultRowHeight="14.5" x14ac:dyDescent="0.35"/>
  <cols>
    <col min="1" max="1" width="2.7265625" customWidth="1"/>
    <col min="2" max="2" width="23.7265625" bestFit="1" customWidth="1"/>
    <col min="3" max="3" width="18.08984375" bestFit="1" customWidth="1"/>
    <col min="4" max="4" width="17.7265625" bestFit="1" customWidth="1"/>
    <col min="5" max="5" width="17.81640625" bestFit="1" customWidth="1"/>
    <col min="6" max="6" width="8.26953125" bestFit="1" customWidth="1"/>
    <col min="7" max="7" width="2.6328125" customWidth="1"/>
  </cols>
  <sheetData>
    <row r="2" spans="2:9" ht="15.5" x14ac:dyDescent="0.35">
      <c r="B2" s="12" t="s">
        <v>54</v>
      </c>
      <c r="C2" s="13"/>
      <c r="D2" s="13"/>
      <c r="E2" s="13"/>
      <c r="F2" s="13"/>
    </row>
    <row r="3" spans="2:9" ht="14.5" customHeight="1" x14ac:dyDescent="0.35">
      <c r="B3" s="19" t="s">
        <v>55</v>
      </c>
      <c r="C3" s="20"/>
      <c r="D3" s="20"/>
      <c r="E3" s="20"/>
      <c r="F3" s="21"/>
    </row>
    <row r="4" spans="2:9" x14ac:dyDescent="0.35">
      <c r="B4" s="22"/>
      <c r="C4" s="23"/>
      <c r="D4" s="23"/>
      <c r="E4" s="23"/>
      <c r="F4" s="24"/>
    </row>
    <row r="5" spans="2:9" ht="14.5" customHeight="1" x14ac:dyDescent="0.35">
      <c r="B5" s="25" t="s">
        <v>62</v>
      </c>
      <c r="C5" s="26"/>
      <c r="D5" s="26"/>
      <c r="E5" s="26"/>
      <c r="F5" s="27"/>
    </row>
    <row r="6" spans="2:9" x14ac:dyDescent="0.35">
      <c r="B6" s="25"/>
      <c r="C6" s="26"/>
      <c r="D6" s="26"/>
      <c r="E6" s="26"/>
      <c r="F6" s="27"/>
    </row>
    <row r="7" spans="2:9" x14ac:dyDescent="0.35">
      <c r="B7" s="28" t="s">
        <v>61</v>
      </c>
      <c r="C7" s="29"/>
      <c r="D7" s="29"/>
      <c r="E7" s="29"/>
      <c r="F7" s="30"/>
    </row>
    <row r="8" spans="2:9" x14ac:dyDescent="0.35">
      <c r="B8" s="11"/>
      <c r="C8" s="11"/>
      <c r="D8" s="11"/>
      <c r="E8" s="11"/>
    </row>
    <row r="9" spans="2:9" ht="15.5" x14ac:dyDescent="0.35">
      <c r="B9" s="12" t="s">
        <v>56</v>
      </c>
      <c r="C9" s="13"/>
      <c r="D9" s="13"/>
      <c r="E9" s="13"/>
      <c r="F9" s="13"/>
      <c r="H9" s="15" t="s">
        <v>59</v>
      </c>
      <c r="I9" s="15"/>
    </row>
    <row r="10" spans="2:9" x14ac:dyDescent="0.35">
      <c r="B10" s="2" t="s">
        <v>25</v>
      </c>
      <c r="C10" s="2" t="s">
        <v>26</v>
      </c>
      <c r="D10" s="2" t="s">
        <v>28</v>
      </c>
      <c r="E10" s="2" t="s">
        <v>27</v>
      </c>
      <c r="F10" s="2" t="s">
        <v>24</v>
      </c>
      <c r="H10" s="16"/>
      <c r="I10" s="16"/>
    </row>
    <row r="11" spans="2:9" x14ac:dyDescent="0.35">
      <c r="B11" s="17">
        <f>SUM(deposit1,deposit2)</f>
        <v>35000</v>
      </c>
      <c r="C11" s="17">
        <f>SUM((salary1*F11),(salary2*F11))</f>
        <v>292500</v>
      </c>
      <c r="D11" s="18">
        <f>Table9[[#This Row],[Deposit amount]]/(SUM(deposit1,deposit2)+SUM((salary1*F11),(salary2*F11)))</f>
        <v>0.10687022900763359</v>
      </c>
      <c r="E11" s="17">
        <f>SUM(deposit1,deposit2)+SUM((salary1*F11),(salary2*F11))</f>
        <v>327500</v>
      </c>
      <c r="F11" s="2">
        <f>I11/10</f>
        <v>4.5</v>
      </c>
      <c r="H11" s="16"/>
      <c r="I11" s="16">
        <v>45</v>
      </c>
    </row>
    <row r="12" spans="2:9" x14ac:dyDescent="0.35">
      <c r="B12" s="4"/>
      <c r="C12" s="4"/>
      <c r="D12" s="3"/>
      <c r="E12" s="4"/>
      <c r="F12" s="2"/>
    </row>
    <row r="13" spans="2:9" ht="15.5" x14ac:dyDescent="0.35">
      <c r="B13" s="12" t="s">
        <v>57</v>
      </c>
      <c r="C13" s="13"/>
      <c r="D13" s="13"/>
      <c r="E13" s="13"/>
      <c r="H13" s="15" t="s">
        <v>60</v>
      </c>
      <c r="I13" s="15"/>
    </row>
    <row r="14" spans="2:9" x14ac:dyDescent="0.35">
      <c r="B14" s="2" t="s">
        <v>36</v>
      </c>
      <c r="C14" s="2" t="s">
        <v>38</v>
      </c>
      <c r="D14" s="2" t="s">
        <v>37</v>
      </c>
      <c r="E14" s="2" t="s">
        <v>39</v>
      </c>
      <c r="H14" s="16"/>
      <c r="I14" s="16"/>
    </row>
    <row r="15" spans="2:9" ht="15.5" x14ac:dyDescent="0.35">
      <c r="B15" s="17" cm="1">
        <f t="array" ref="B15">Table9[Borrowing amount]</f>
        <v>292500</v>
      </c>
      <c r="C15" s="2">
        <v>25</v>
      </c>
      <c r="D15" s="18">
        <f>I15/1000</f>
        <v>5.2999999999999999E-2</v>
      </c>
      <c r="E15" s="31">
        <f>PMT(Mortgage_Calculator[[#This Row],[Mortgage rate]]/12,(Mortgage_Calculator[[#This Row],[Mortgage term (yrs)]]*12),-Mortgage_Calculator[[#This Row],[Mortgage amount]])</f>
        <v>1761.4384990491292</v>
      </c>
      <c r="H15" s="16"/>
      <c r="I15" s="16">
        <v>53</v>
      </c>
    </row>
    <row r="16" spans="2:9" ht="15.5" x14ac:dyDescent="0.35">
      <c r="B16" s="1"/>
      <c r="D16" s="6"/>
      <c r="E16" s="9"/>
    </row>
    <row r="17" spans="2:5" ht="15.5" x14ac:dyDescent="0.35">
      <c r="B17" s="12" t="s">
        <v>58</v>
      </c>
      <c r="C17" s="12"/>
      <c r="D17" s="12"/>
      <c r="E17" s="12"/>
    </row>
    <row r="18" spans="2:5" x14ac:dyDescent="0.35">
      <c r="B18" t="s">
        <v>9</v>
      </c>
      <c r="C18" s="2" t="s">
        <v>32</v>
      </c>
      <c r="D18" s="2" t="s">
        <v>33</v>
      </c>
      <c r="E18" s="2" t="s">
        <v>34</v>
      </c>
    </row>
    <row r="19" spans="2:5" x14ac:dyDescent="0.35">
      <c r="B19" t="s">
        <v>10</v>
      </c>
      <c r="C19" s="5">
        <f>salary1</f>
        <v>30000</v>
      </c>
      <c r="D19" s="5">
        <f>salary2</f>
        <v>35000</v>
      </c>
      <c r="E19" s="5">
        <f>SUM(Table11[[#This Row],[Person 1]:[Person 2]])</f>
        <v>65000</v>
      </c>
    </row>
    <row r="20" spans="2:5" x14ac:dyDescent="0.35">
      <c r="B20" t="s">
        <v>11</v>
      </c>
      <c r="C20" s="5">
        <f>takehome1</f>
        <v>1750</v>
      </c>
      <c r="D20" s="5">
        <f>takehome2</f>
        <v>1900</v>
      </c>
      <c r="E20" s="5">
        <f>SUM(Table11[[#This Row],[Person 1]:[Person 2]])</f>
        <v>3650</v>
      </c>
    </row>
    <row r="21" spans="2:5" x14ac:dyDescent="0.35">
      <c r="B21" t="s">
        <v>35</v>
      </c>
      <c r="C21" s="5">
        <f>deposit1</f>
        <v>20000</v>
      </c>
      <c r="D21" s="5">
        <f>deposit2</f>
        <v>15000</v>
      </c>
      <c r="E21" s="5">
        <f>SUM(Table11[[#This Row],[Person 1]:[Person 2]])</f>
        <v>35000</v>
      </c>
    </row>
    <row r="22" spans="2:5" x14ac:dyDescent="0.35">
      <c r="B22" t="s">
        <v>46</v>
      </c>
      <c r="C22" s="5">
        <f>SUM(Person_1_Monthly_Costs[Cost])</f>
        <v>459.5</v>
      </c>
      <c r="D22" s="5">
        <f>SUM(Person_2_Monthly_Costs[Cost])</f>
        <v>489.5</v>
      </c>
      <c r="E22" s="5">
        <f>SUM(Table11[[#This Row],[Person 1]:[Person 2]])</f>
        <v>949</v>
      </c>
    </row>
    <row r="23" spans="2:5" x14ac:dyDescent="0.35">
      <c r="B23" t="s">
        <v>47</v>
      </c>
      <c r="C23" s="5">
        <f>SUM(Person_1_Yearly_Costs[Cost])</f>
        <v>270</v>
      </c>
      <c r="D23" s="5">
        <f>SUM(Person_2_Yearly_Costs[Cost])</f>
        <v>320</v>
      </c>
      <c r="E23" s="5">
        <f>SUM(Table11[[#This Row],[Person 1]:[Person 2]])</f>
        <v>590</v>
      </c>
    </row>
    <row r="24" spans="2:5" x14ac:dyDescent="0.35">
      <c r="B24" t="s">
        <v>48</v>
      </c>
      <c r="C24" s="5">
        <f>C23/12</f>
        <v>22.5</v>
      </c>
      <c r="D24" s="5">
        <f>D23/12</f>
        <v>26.666666666666668</v>
      </c>
      <c r="E24" s="5">
        <f>SUM(Table11[[#This Row],[Person 1]:[Person 2]])</f>
        <v>49.166666666666671</v>
      </c>
    </row>
    <row r="25" spans="2:5" x14ac:dyDescent="0.35">
      <c r="B25" t="s">
        <v>50</v>
      </c>
      <c r="C25" s="5">
        <f>SUM(Joint_Monthly_Costs[Cost])/2</f>
        <v>300</v>
      </c>
      <c r="D25" s="5">
        <f>SUM(Joint_Monthly_Costs[Cost])/2</f>
        <v>300</v>
      </c>
      <c r="E25" s="5">
        <f>SUM(Table11[[#This Row],[Person 1]:[Person 2]])</f>
        <v>600</v>
      </c>
    </row>
    <row r="26" spans="2:5" x14ac:dyDescent="0.35">
      <c r="B26" t="s">
        <v>51</v>
      </c>
      <c r="C26" s="5">
        <f>(SUM(Joint_Yearly_Costs[Cost])/2)/12</f>
        <v>5.208333333333333</v>
      </c>
      <c r="D26" s="5">
        <f>(SUM(Joint_Yearly_Costs[Cost])/2)/12</f>
        <v>5.208333333333333</v>
      </c>
      <c r="E26" s="5">
        <f>SUM(Table11[[#This Row],[Person 1]:[Person 2]])</f>
        <v>10.416666666666666</v>
      </c>
    </row>
    <row r="27" spans="2:5" x14ac:dyDescent="0.35">
      <c r="B27" t="s">
        <v>53</v>
      </c>
      <c r="C27" s="5">
        <f>SUM(C24,C22,C26)</f>
        <v>487.20833333333331</v>
      </c>
      <c r="D27" s="5">
        <f>SUM(D24,D22,D26)</f>
        <v>521.375</v>
      </c>
      <c r="E27" s="5">
        <f>SUM(Table11[[#This Row],[Person 1]:[Person 2]])</f>
        <v>1008.5833333333333</v>
      </c>
    </row>
    <row r="28" spans="2:5" x14ac:dyDescent="0.35">
      <c r="B28" t="s">
        <v>49</v>
      </c>
      <c r="C28" s="5" cm="1">
        <f t="array" ref="C28">Mortgage_Calculator[Repayment amount]/2</f>
        <v>880.71924952456459</v>
      </c>
      <c r="D28" s="5" cm="1">
        <f t="array" ref="D28">Mortgage_Calculator[Repayment amount]/2</f>
        <v>880.71924952456459</v>
      </c>
      <c r="E28" s="5">
        <f>SUM(Table11[[#This Row],[Person 1]:[Person 2]])</f>
        <v>1761.4384990491292</v>
      </c>
    </row>
    <row r="29" spans="2:5" ht="18.5" x14ac:dyDescent="0.45">
      <c r="B29" s="7" t="s">
        <v>52</v>
      </c>
      <c r="C29" s="8">
        <f>takehome1-SUM(C27:C28)</f>
        <v>382.07241714210204</v>
      </c>
      <c r="D29" s="8">
        <f>takehome2-SUM(C27:C28)</f>
        <v>532.07241714210204</v>
      </c>
      <c r="E29" s="8">
        <f>SUM(Table11[[#This Row],[Person 1]:[Person 2]])</f>
        <v>914.14483428420408</v>
      </c>
    </row>
  </sheetData>
  <mergeCells count="2">
    <mergeCell ref="B3:F4"/>
    <mergeCell ref="B5:F6"/>
  </mergeCells>
  <conditionalFormatting sqref="D11">
    <cfRule type="cellIs" dxfId="8" priority="1" operator="greaterThan">
      <formula>0.099</formula>
    </cfRule>
    <cfRule type="cellIs" dxfId="7" priority="2" operator="lessThan">
      <formula>0.1</formula>
    </cfRule>
  </conditionalFormatting>
  <dataValidations count="1">
    <dataValidation type="list" allowBlank="1" showInputMessage="1" showErrorMessage="1" sqref="F12:G12" xr:uid="{87D20F33-57BF-41AC-969A-4687F60BEE7B}">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Scroll Bar 6">
              <controlPr defaultSize="0" autoPict="0">
                <anchor moveWithCells="1">
                  <from>
                    <xdr:col>7</xdr:col>
                    <xdr:colOff>0</xdr:colOff>
                    <xdr:row>9</xdr:row>
                    <xdr:rowOff>0</xdr:rowOff>
                  </from>
                  <to>
                    <xdr:col>9</xdr:col>
                    <xdr:colOff>0</xdr:colOff>
                    <xdr:row>11</xdr:row>
                    <xdr:rowOff>6350</xdr:rowOff>
                  </to>
                </anchor>
              </controlPr>
            </control>
          </mc:Choice>
        </mc:AlternateContent>
        <mc:AlternateContent xmlns:mc="http://schemas.openxmlformats.org/markup-compatibility/2006">
          <mc:Choice Requires="x14">
            <control shapeId="2056" r:id="rId5" name="Scroll Bar 8">
              <controlPr defaultSize="0" autoPict="0">
                <anchor moveWithCells="1">
                  <from>
                    <xdr:col>7</xdr:col>
                    <xdr:colOff>0</xdr:colOff>
                    <xdr:row>13</xdr:row>
                    <xdr:rowOff>12700</xdr:rowOff>
                  </from>
                  <to>
                    <xdr:col>9</xdr:col>
                    <xdr:colOff>6350</xdr:colOff>
                    <xdr:row>15</xdr:row>
                    <xdr:rowOff>0</xdr:rowOff>
                  </to>
                </anchor>
              </controlPr>
            </control>
          </mc:Choice>
        </mc:AlternateContent>
      </controls>
    </mc:Choice>
  </mc:AlternateContent>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755D-0F8E-4A02-B671-1863212C62DC}">
  <sheetPr codeName="Sheet2"/>
  <dimension ref="A1:C26"/>
  <sheetViews>
    <sheetView showGridLines="0" workbookViewId="0"/>
  </sheetViews>
  <sheetFormatPr defaultRowHeight="14.5" x14ac:dyDescent="0.35"/>
  <cols>
    <col min="1" max="1" width="22.7265625" bestFit="1" customWidth="1"/>
    <col min="2" max="2" width="8.6328125" bestFit="1" customWidth="1"/>
    <col min="3" max="3" width="24.6328125" bestFit="1" customWidth="1"/>
    <col min="4" max="4" width="22.7265625" bestFit="1" customWidth="1"/>
    <col min="5" max="5" width="8.6328125" bestFit="1" customWidth="1"/>
  </cols>
  <sheetData>
    <row r="1" spans="1:3" x14ac:dyDescent="0.35">
      <c r="A1" t="s">
        <v>9</v>
      </c>
      <c r="B1" t="s">
        <v>8</v>
      </c>
      <c r="C1" t="s">
        <v>44</v>
      </c>
    </row>
    <row r="2" spans="1:3" x14ac:dyDescent="0.35">
      <c r="A2" t="s">
        <v>10</v>
      </c>
      <c r="B2" s="14">
        <v>30000</v>
      </c>
      <c r="C2" t="s">
        <v>42</v>
      </c>
    </row>
    <row r="3" spans="1:3" x14ac:dyDescent="0.35">
      <c r="A3" t="s">
        <v>11</v>
      </c>
      <c r="B3" s="14">
        <v>1750</v>
      </c>
      <c r="C3" t="s">
        <v>43</v>
      </c>
    </row>
    <row r="4" spans="1:3" x14ac:dyDescent="0.35">
      <c r="A4" t="s">
        <v>12</v>
      </c>
      <c r="B4" s="14">
        <v>20000</v>
      </c>
    </row>
    <row r="5" spans="1:3" x14ac:dyDescent="0.35">
      <c r="A5" t="s">
        <v>40</v>
      </c>
      <c r="B5" s="14">
        <v>10000</v>
      </c>
      <c r="C5" t="s">
        <v>41</v>
      </c>
    </row>
    <row r="7" spans="1:3" x14ac:dyDescent="0.35">
      <c r="A7" s="10" t="s">
        <v>29</v>
      </c>
      <c r="B7" s="10" t="s">
        <v>31</v>
      </c>
    </row>
    <row r="8" spans="1:3" x14ac:dyDescent="0.35">
      <c r="A8" t="s">
        <v>2</v>
      </c>
      <c r="B8" s="1">
        <v>20</v>
      </c>
    </row>
    <row r="9" spans="1:3" x14ac:dyDescent="0.35">
      <c r="A9" t="s">
        <v>3</v>
      </c>
      <c r="B9" s="1">
        <v>10</v>
      </c>
    </row>
    <row r="10" spans="1:3" x14ac:dyDescent="0.35">
      <c r="A10" t="s">
        <v>4</v>
      </c>
      <c r="B10" s="1">
        <v>32.5</v>
      </c>
    </row>
    <row r="11" spans="1:3" x14ac:dyDescent="0.35">
      <c r="A11" t="s">
        <v>5</v>
      </c>
      <c r="B11" s="1">
        <v>125</v>
      </c>
    </row>
    <row r="12" spans="1:3" x14ac:dyDescent="0.35">
      <c r="A12" t="s">
        <v>7</v>
      </c>
      <c r="B12" s="1">
        <v>12</v>
      </c>
    </row>
    <row r="13" spans="1:3" x14ac:dyDescent="0.35">
      <c r="A13" t="s">
        <v>13</v>
      </c>
      <c r="B13" s="1">
        <v>175</v>
      </c>
    </row>
    <row r="14" spans="1:3" x14ac:dyDescent="0.35">
      <c r="A14" t="s">
        <v>20</v>
      </c>
      <c r="B14" s="1">
        <v>10</v>
      </c>
    </row>
    <row r="15" spans="1:3" x14ac:dyDescent="0.35">
      <c r="A15" t="s">
        <v>23</v>
      </c>
      <c r="B15" s="1">
        <v>75</v>
      </c>
    </row>
    <row r="24" spans="1:2" x14ac:dyDescent="0.35">
      <c r="A24" s="10" t="s">
        <v>30</v>
      </c>
      <c r="B24" s="10" t="s">
        <v>31</v>
      </c>
    </row>
    <row r="25" spans="1:2" x14ac:dyDescent="0.35">
      <c r="A25" t="s">
        <v>0</v>
      </c>
      <c r="B25" s="1">
        <v>250</v>
      </c>
    </row>
    <row r="26" spans="1:2" x14ac:dyDescent="0.35">
      <c r="A26" t="s">
        <v>6</v>
      </c>
      <c r="B26" s="1">
        <v>20</v>
      </c>
    </row>
  </sheetData>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F5581-2398-474C-8EE7-1328615E0FD2}">
  <sheetPr codeName="Sheet3"/>
  <dimension ref="A1:C26"/>
  <sheetViews>
    <sheetView showGridLines="0" workbookViewId="0"/>
  </sheetViews>
  <sheetFormatPr defaultRowHeight="14.5" x14ac:dyDescent="0.35"/>
  <cols>
    <col min="1" max="1" width="22.36328125" bestFit="1" customWidth="1"/>
    <col min="2" max="2" width="8.6328125" bestFit="1" customWidth="1"/>
    <col min="3" max="3" width="24.6328125" bestFit="1" customWidth="1"/>
    <col min="4" max="4" width="20.453125" bestFit="1" customWidth="1"/>
    <col min="5" max="5" width="8.6328125" bestFit="1" customWidth="1"/>
  </cols>
  <sheetData>
    <row r="1" spans="1:3" x14ac:dyDescent="0.35">
      <c r="A1" t="s">
        <v>9</v>
      </c>
      <c r="B1" t="s">
        <v>8</v>
      </c>
      <c r="C1" t="s">
        <v>44</v>
      </c>
    </row>
    <row r="2" spans="1:3" x14ac:dyDescent="0.35">
      <c r="A2" t="s">
        <v>10</v>
      </c>
      <c r="B2" s="14">
        <v>35000</v>
      </c>
      <c r="C2" t="s">
        <v>42</v>
      </c>
    </row>
    <row r="3" spans="1:3" x14ac:dyDescent="0.35">
      <c r="A3" t="s">
        <v>11</v>
      </c>
      <c r="B3" s="14">
        <v>1900</v>
      </c>
      <c r="C3" t="s">
        <v>43</v>
      </c>
    </row>
    <row r="4" spans="1:3" x14ac:dyDescent="0.35">
      <c r="A4" t="s">
        <v>12</v>
      </c>
      <c r="B4" s="14">
        <v>15000</v>
      </c>
    </row>
    <row r="5" spans="1:3" x14ac:dyDescent="0.35">
      <c r="A5" t="s">
        <v>45</v>
      </c>
      <c r="B5" s="14">
        <v>7000</v>
      </c>
      <c r="C5" t="s">
        <v>41</v>
      </c>
    </row>
    <row r="7" spans="1:3" x14ac:dyDescent="0.35">
      <c r="A7" s="10" t="s">
        <v>29</v>
      </c>
      <c r="B7" s="10" t="s">
        <v>31</v>
      </c>
    </row>
    <row r="8" spans="1:3" x14ac:dyDescent="0.35">
      <c r="A8" t="s">
        <v>22</v>
      </c>
      <c r="B8" s="1">
        <v>50</v>
      </c>
    </row>
    <row r="9" spans="1:3" x14ac:dyDescent="0.35">
      <c r="A9" t="s">
        <v>3</v>
      </c>
      <c r="B9" s="1">
        <v>10</v>
      </c>
    </row>
    <row r="10" spans="1:3" x14ac:dyDescent="0.35">
      <c r="A10" t="s">
        <v>4</v>
      </c>
      <c r="B10" s="1">
        <v>32.5</v>
      </c>
    </row>
    <row r="11" spans="1:3" x14ac:dyDescent="0.35">
      <c r="A11" t="s">
        <v>5</v>
      </c>
      <c r="B11" s="1">
        <v>125</v>
      </c>
    </row>
    <row r="12" spans="1:3" x14ac:dyDescent="0.35">
      <c r="A12" t="s">
        <v>7</v>
      </c>
      <c r="B12" s="1">
        <v>12</v>
      </c>
    </row>
    <row r="13" spans="1:3" x14ac:dyDescent="0.35">
      <c r="A13" t="s">
        <v>21</v>
      </c>
      <c r="B13" s="1">
        <v>50</v>
      </c>
    </row>
    <row r="14" spans="1:3" x14ac:dyDescent="0.35">
      <c r="A14" t="s">
        <v>20</v>
      </c>
      <c r="B14" s="1">
        <v>10</v>
      </c>
    </row>
    <row r="15" spans="1:3" x14ac:dyDescent="0.35">
      <c r="A15" t="s">
        <v>23</v>
      </c>
      <c r="B15" s="1">
        <v>200</v>
      </c>
    </row>
    <row r="24" spans="1:2" x14ac:dyDescent="0.35">
      <c r="A24" s="10" t="s">
        <v>30</v>
      </c>
      <c r="B24" s="10" t="s">
        <v>31</v>
      </c>
    </row>
    <row r="25" spans="1:2" x14ac:dyDescent="0.35">
      <c r="A25" t="s">
        <v>0</v>
      </c>
      <c r="B25" s="1">
        <v>300</v>
      </c>
    </row>
    <row r="26" spans="1:2" x14ac:dyDescent="0.35">
      <c r="A26" t="s">
        <v>6</v>
      </c>
      <c r="B26" s="1">
        <v>20</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110B1-55A4-41D6-9F52-BE7AE9C1C8AD}">
  <sheetPr codeName="Sheet4"/>
  <dimension ref="A1:B15"/>
  <sheetViews>
    <sheetView showGridLines="0" workbookViewId="0"/>
  </sheetViews>
  <sheetFormatPr defaultRowHeight="14.5" x14ac:dyDescent="0.35"/>
  <cols>
    <col min="1" max="1" width="22.36328125" bestFit="1" customWidth="1"/>
    <col min="2" max="2" width="4.6328125" bestFit="1" customWidth="1"/>
    <col min="4" max="4" width="25.54296875" customWidth="1"/>
    <col min="5" max="5" width="7.26953125" customWidth="1"/>
  </cols>
  <sheetData>
    <row r="1" spans="1:2" x14ac:dyDescent="0.35">
      <c r="A1" s="10" t="s">
        <v>29</v>
      </c>
      <c r="B1" s="10" t="s">
        <v>31</v>
      </c>
    </row>
    <row r="2" spans="1:2" x14ac:dyDescent="0.35">
      <c r="A2" t="s">
        <v>14</v>
      </c>
      <c r="B2">
        <v>100</v>
      </c>
    </row>
    <row r="3" spans="1:2" x14ac:dyDescent="0.35">
      <c r="A3" t="s">
        <v>15</v>
      </c>
      <c r="B3">
        <v>120</v>
      </c>
    </row>
    <row r="4" spans="1:2" x14ac:dyDescent="0.35">
      <c r="A4" t="s">
        <v>16</v>
      </c>
      <c r="B4">
        <v>30</v>
      </c>
    </row>
    <row r="5" spans="1:2" x14ac:dyDescent="0.35">
      <c r="A5" t="s">
        <v>17</v>
      </c>
      <c r="B5">
        <v>20</v>
      </c>
    </row>
    <row r="6" spans="1:2" x14ac:dyDescent="0.35">
      <c r="A6" t="s">
        <v>18</v>
      </c>
      <c r="B6">
        <v>300</v>
      </c>
    </row>
    <row r="7" spans="1:2" x14ac:dyDescent="0.35">
      <c r="A7" t="s">
        <v>19</v>
      </c>
      <c r="B7">
        <v>30</v>
      </c>
    </row>
    <row r="14" spans="1:2" x14ac:dyDescent="0.35">
      <c r="A14" s="10" t="s">
        <v>30</v>
      </c>
      <c r="B14" s="10" t="s">
        <v>31</v>
      </c>
    </row>
    <row r="15" spans="1:2" x14ac:dyDescent="0.35">
      <c r="A15" t="s">
        <v>1</v>
      </c>
      <c r="B15">
        <v>125</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Calculator</vt:lpstr>
      <vt:lpstr>PERSON 1</vt:lpstr>
      <vt:lpstr>PERSON 2</vt:lpstr>
      <vt:lpstr>JOINT COSTS</vt:lpstr>
      <vt:lpstr>Affordability</vt:lpstr>
      <vt:lpstr>Borrowing_Amount</vt:lpstr>
      <vt:lpstr>Deposit_Percentage</vt:lpstr>
      <vt:lpstr>deposit1</vt:lpstr>
      <vt:lpstr>deposit2</vt:lpstr>
      <vt:lpstr>Max_House_Affordability</vt:lpstr>
      <vt:lpstr>Multiple</vt:lpstr>
      <vt:lpstr>salary1</vt:lpstr>
      <vt:lpstr>salary2</vt:lpstr>
      <vt:lpstr>takehome1</vt:lpstr>
      <vt:lpstr>takehome2</vt:lpstr>
      <vt:lpstr>Total_Deposit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Weatherstone</dc:creator>
  <cp:lastModifiedBy>David Weatherstone</cp:lastModifiedBy>
  <dcterms:created xsi:type="dcterms:W3CDTF">2023-01-07T15:56:39Z</dcterms:created>
  <dcterms:modified xsi:type="dcterms:W3CDTF">2023-01-07T17:16:18Z</dcterms:modified>
</cp:coreProperties>
</file>